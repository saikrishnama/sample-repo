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upport Evaluation" sheetId="1" state="visible" r:id="rId1"/>
    <sheet xmlns:r="http://schemas.openxmlformats.org/officeDocument/2006/relationships" name="Support Level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i val="1"/>
      <color rgb="00475569"/>
      <sz val="9.5"/>
    </font>
    <font>
      <name val="Calibri"/>
      <i val="1"/>
      <color rgb="0064748B"/>
      <sz val="9"/>
    </font>
    <font>
      <name val="Calibri"/>
      <b val="1"/>
      <color rgb="00FFFFFF"/>
      <sz val="11"/>
    </font>
    <font>
      <name val="Calibri"/>
      <b val="1"/>
      <color rgb="001E293B"/>
      <sz val="10"/>
    </font>
    <font>
      <name val="Calibri"/>
      <color rgb="00334155"/>
      <sz val="10"/>
    </font>
    <font>
      <name val="Calibri"/>
      <b val="1"/>
      <color rgb="000F172A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293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 wrapText="1"/>
    </xf>
    <xf numFmtId="164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right" vertical="center"/>
    </xf>
    <xf numFmtId="0" fontId="0" fillId="4" borderId="1" pivotButton="0" quotePrefix="0" xfId="0"/>
    <xf numFmtId="0" fontId="7" fillId="4" borderId="1" applyAlignment="1" pivotButton="0" quotePrefix="0" xfId="0">
      <alignment horizontal="center" vertical="center"/>
    </xf>
    <xf numFmtId="164" fontId="7" fillId="4" borderId="1" applyAlignment="1" pivotButton="0" quotePrefix="0" xfId="0">
      <alignment horizontal="center" vertical="center"/>
    </xf>
    <xf numFmtId="165" fontId="7" fillId="4" borderId="1" applyAlignment="1" pivotButton="0" quotePrefix="0" xfId="0">
      <alignment horizontal="center" vertical="center"/>
    </xf>
    <xf numFmtId="0" fontId="7" fillId="4" borderId="2" applyAlignment="1" pivotButton="0" quotePrefix="0" xfId="0">
      <alignment horizontal="right" vertical="center"/>
    </xf>
    <xf numFmtId="0" fontId="0" fillId="4" borderId="2" pivotButton="0" quotePrefix="0" xfId="0"/>
    <xf numFmtId="0" fontId="7" fillId="4" borderId="2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8" customWidth="1" min="3" max="3"/>
    <col width="45" customWidth="1" min="4" max="4"/>
    <col width="6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" t="inlineStr">
        <is>
          <t>AWS Cloud Operations &amp; SME Support Evaluation Tracker</t>
        </is>
      </c>
    </row>
    <row r="2" ht="16" customHeight="1">
      <c r="A2" s="2" t="inlineStr">
        <is>
          <t>Context: All accounts &amp; infrastructure are pre-provisioned. Evaluation is based on incident triage, break-fix, performance tuning, and RCA capability.</t>
        </is>
      </c>
    </row>
    <row r="3" ht="16" customHeight="1">
      <c r="A3" s="3" t="inlineStr">
        <is>
          <t>Scoring: Enter points scored per task in columns User A, User B, User C (Total 100 max points). Summary metrics calculate automatically below.</t>
        </is>
      </c>
    </row>
    <row r="5" ht="26" customHeight="1">
      <c r="A5" s="4" t="inlineStr">
        <is>
          <t>Task #</t>
        </is>
      </c>
      <c r="B5" s="5" t="inlineStr">
        <is>
          <t>Difficulty Tier</t>
        </is>
      </c>
      <c r="C5" s="5" t="inlineStr">
        <is>
          <t>AWS Service</t>
        </is>
      </c>
      <c r="D5" s="5" t="inlineStr">
        <is>
          <t>Operational Incident / Support Scenario</t>
        </is>
      </c>
      <c r="E5" s="5" t="inlineStr">
        <is>
          <t>Expected Troubleshooting &amp; Resolution Outcome</t>
        </is>
      </c>
      <c r="F5" s="4" t="inlineStr">
        <is>
          <t>Max Pts</t>
        </is>
      </c>
      <c r="G5" s="4" t="inlineStr">
        <is>
          <t>User A</t>
        </is>
      </c>
      <c r="H5" s="4" t="inlineStr">
        <is>
          <t>User B</t>
        </is>
      </c>
      <c r="I5" s="4" t="inlineStr">
        <is>
          <t>User C</t>
        </is>
      </c>
    </row>
    <row r="6" ht="22" customHeight="1">
      <c r="A6" s="6" t="inlineStr">
        <is>
          <t>Task 01</t>
        </is>
      </c>
      <c r="B6" s="7" t="inlineStr">
        <is>
          <t>Tier 1 (Beginner)</t>
        </is>
      </c>
      <c r="C6" s="6" t="inlineStr">
        <is>
          <t>IAM</t>
        </is>
      </c>
      <c r="D6" s="7" t="inlineStr">
        <is>
          <t>Developer unable to write to S3 bucket (AccessDenied)</t>
        </is>
      </c>
      <c r="E6" s="8" t="inlineStr">
        <is>
          <t>Check CloudTrail events, IAM permission boundaries, and SCPs to isolate whether the block is from an explicit deny, missing KMS decrypt key, or boundary.</t>
        </is>
      </c>
      <c r="F6" s="6" t="n">
        <v>2</v>
      </c>
      <c r="G6" s="9" t="n"/>
      <c r="H6" s="9" t="n"/>
      <c r="I6" s="9" t="n"/>
    </row>
    <row r="7" ht="22" customHeight="1">
      <c r="A7" s="10" t="inlineStr">
        <is>
          <t>Task 02</t>
        </is>
      </c>
      <c r="B7" s="11" t="inlineStr">
        <is>
          <t>Tier 1 (Beginner)</t>
        </is>
      </c>
      <c r="C7" s="10" t="inlineStr">
        <is>
          <t>IAM</t>
        </is>
      </c>
      <c r="D7" s="11" t="inlineStr">
        <is>
          <t>Cross-account pipeline failing on STS AssumeRole</t>
        </is>
      </c>
      <c r="E7" s="12" t="inlineStr">
        <is>
          <t>Inspect trust relationship on target role, verify external ID, and check session duration settings to get the deployment script working again.</t>
        </is>
      </c>
      <c r="F7" s="10" t="n">
        <v>2</v>
      </c>
      <c r="G7" s="13" t="n"/>
      <c r="H7" s="13" t="n"/>
      <c r="I7" s="13" t="n"/>
    </row>
    <row r="8" ht="22" customHeight="1">
      <c r="A8" s="6" t="inlineStr">
        <is>
          <t>Task 03</t>
        </is>
      </c>
      <c r="B8" s="7" t="inlineStr">
        <is>
          <t>Tier 1 (Beginner)</t>
        </is>
      </c>
      <c r="C8" s="6" t="inlineStr">
        <is>
          <t>CloudWatch</t>
        </is>
      </c>
      <c r="D8" s="7" t="inlineStr">
        <is>
          <t>CloudWatch alarm missed a high-CPU outage</t>
        </is>
      </c>
      <c r="E8" s="8" t="inlineStr">
        <is>
          <t>Review alarm configuration; fix 'TreatMissingData' setting and period aggregation so alerts fire reliably even when metric samples drop.</t>
        </is>
      </c>
      <c r="F8" s="6" t="n">
        <v>2</v>
      </c>
      <c r="G8" s="9" t="n"/>
      <c r="H8" s="9" t="n"/>
      <c r="I8" s="9" t="n"/>
    </row>
    <row r="9" ht="22" customHeight="1">
      <c r="A9" s="10" t="inlineStr">
        <is>
          <t>Task 04</t>
        </is>
      </c>
      <c r="B9" s="11" t="inlineStr">
        <is>
          <t>Tier 1 (Beginner)</t>
        </is>
      </c>
      <c r="C9" s="10" t="inlineStr">
        <is>
          <t>VPC Flow Logs</t>
        </is>
      </c>
      <c r="D9" s="11" t="inlineStr">
        <is>
          <t>App cannot connect to backend microservice in private subnet</t>
        </is>
      </c>
      <c r="E9" s="12" t="inlineStr">
        <is>
          <t>Enable VPC Flow Logs on the ENI, identify whether packets show REJECT, and fix the corresponding Security Group or NACL rule.</t>
        </is>
      </c>
      <c r="F9" s="10" t="n">
        <v>2</v>
      </c>
      <c r="G9" s="13" t="n"/>
      <c r="H9" s="13" t="n"/>
      <c r="I9" s="13" t="n"/>
    </row>
    <row r="10" ht="22" customHeight="1">
      <c r="A10" s="6" t="inlineStr">
        <is>
          <t>Task 05</t>
        </is>
      </c>
      <c r="B10" s="7" t="inlineStr">
        <is>
          <t>Tier 1 (Beginner)</t>
        </is>
      </c>
      <c r="C10" s="6" t="inlineStr">
        <is>
          <t>Networking</t>
        </is>
      </c>
      <c r="D10" s="7" t="inlineStr">
        <is>
          <t>EC2 instance unable to reach private S3 Gateway Endpoint</t>
        </is>
      </c>
      <c r="E10" s="8" t="inlineStr">
        <is>
          <t>Run VPC Reachability Analyzer to find missing route table entries or restrictive endpoint policies blocking internal traffic.</t>
        </is>
      </c>
      <c r="F10" s="6" t="n">
        <v>2</v>
      </c>
      <c r="G10" s="9" t="n"/>
      <c r="H10" s="9" t="n"/>
      <c r="I10" s="9" t="n"/>
    </row>
    <row r="11" ht="22" customHeight="1">
      <c r="A11" s="10" t="inlineStr">
        <is>
          <t>Task 06</t>
        </is>
      </c>
      <c r="B11" s="11" t="inlineStr">
        <is>
          <t>Tier 2 (Intermediate)</t>
        </is>
      </c>
      <c r="C11" s="10" t="inlineStr">
        <is>
          <t>ECS</t>
        </is>
      </c>
      <c r="D11" s="11" t="inlineStr">
        <is>
          <t>ECS container constantly restarting with Exit Code 137</t>
        </is>
      </c>
      <c r="E11" s="12" t="inlineStr">
        <is>
          <t>Check CloudWatch logs to confirm Out-Of-Memory (OOM) killer; adjust task/container memory limits and inspect app memory footprint.</t>
        </is>
      </c>
      <c r="F11" s="10" t="n">
        <v>4</v>
      </c>
      <c r="G11" s="13" t="n"/>
      <c r="H11" s="13" t="n"/>
      <c r="I11" s="13" t="n"/>
    </row>
    <row r="12" ht="22" customHeight="1">
      <c r="A12" s="6" t="inlineStr">
        <is>
          <t>Task 07</t>
        </is>
      </c>
      <c r="B12" s="7" t="inlineStr">
        <is>
          <t>Tier 2 (Intermediate)</t>
        </is>
      </c>
      <c r="C12" s="6" t="inlineStr">
        <is>
          <t>ECS</t>
        </is>
      </c>
      <c r="D12" s="7" t="inlineStr">
        <is>
          <t>ALB throwing 502 Bad Gateway during Fargate traffic spike</t>
        </is>
      </c>
      <c r="E12" s="8" t="inlineStr">
        <is>
          <t>Diagnose unhealthy targets under load, adjust health check grace periods, deregistration delays, and configure Fargate autoscaling.</t>
        </is>
      </c>
      <c r="F12" s="6" t="n">
        <v>4</v>
      </c>
      <c r="G12" s="9" t="n"/>
      <c r="H12" s="9" t="n"/>
      <c r="I12" s="9" t="n"/>
    </row>
    <row r="13" ht="22" customHeight="1">
      <c r="A13" s="10" t="inlineStr">
        <is>
          <t>Task 08</t>
        </is>
      </c>
      <c r="B13" s="11" t="inlineStr">
        <is>
          <t>Tier 2 (Intermediate)</t>
        </is>
      </c>
      <c r="C13" s="10" t="inlineStr">
        <is>
          <t>VPC Flow Logs</t>
        </is>
      </c>
      <c r="D13" s="11" t="inlineStr">
        <is>
          <t>Investigate sudden outbound data transfer cost spike</t>
        </is>
      </c>
      <c r="E13" s="12" t="inlineStr">
        <is>
          <t>Run Athena SQL queries against VPC Flow Logs to identify the top source IP, destination IP, and ports generating the high traffic volume.</t>
        </is>
      </c>
      <c r="F13" s="10" t="n">
        <v>4</v>
      </c>
      <c r="G13" s="13" t="n"/>
      <c r="H13" s="13" t="n"/>
      <c r="I13" s="13" t="n"/>
    </row>
    <row r="14" ht="22" customHeight="1">
      <c r="A14" s="6" t="inlineStr">
        <is>
          <t>Task 09</t>
        </is>
      </c>
      <c r="B14" s="7" t="inlineStr">
        <is>
          <t>Tier 2 (Intermediate)</t>
        </is>
      </c>
      <c r="C14" s="6" t="inlineStr">
        <is>
          <t>Glue</t>
        </is>
      </c>
      <c r="D14" s="7" t="inlineStr">
        <is>
          <t>Glue Crawler failing after upstream team changed S3 folders</t>
        </is>
      </c>
      <c r="E14" s="8" t="inlineStr">
        <is>
          <t>Fix crawler configuration to handle schema drift and new S3 partition layouts; re-sync Glue Data Catalog without dropping existing tables.</t>
        </is>
      </c>
      <c r="F14" s="6" t="n">
        <v>4</v>
      </c>
      <c r="G14" s="9" t="n"/>
      <c r="H14" s="9" t="n"/>
      <c r="I14" s="9" t="n"/>
    </row>
    <row r="15" ht="22" customHeight="1">
      <c r="A15" s="10" t="inlineStr">
        <is>
          <t>Task 10</t>
        </is>
      </c>
      <c r="B15" s="11" t="inlineStr">
        <is>
          <t>Tier 2 (Intermediate)</t>
        </is>
      </c>
      <c r="C15" s="10" t="inlineStr">
        <is>
          <t>EMR</t>
        </is>
      </c>
      <c r="D15" s="11" t="inlineStr">
        <is>
          <t>EMR Spark job failing due to Spot instance termination</t>
        </is>
      </c>
      <c r="E15" s="12" t="inlineStr">
        <is>
          <t>Review EMR cluster event history; reconfigure instance fleets with diversified Spot allocation strategies to keep jobs running during node recovery.</t>
        </is>
      </c>
      <c r="F15" s="10" t="n">
        <v>4</v>
      </c>
      <c r="G15" s="13" t="n"/>
      <c r="H15" s="13" t="n"/>
      <c r="I15" s="13" t="n"/>
    </row>
    <row r="16" ht="22" customHeight="1">
      <c r="A16" s="6" t="inlineStr">
        <is>
          <t>Task 11</t>
        </is>
      </c>
      <c r="B16" s="7" t="inlineStr">
        <is>
          <t>Tier 3 (Advanced)</t>
        </is>
      </c>
      <c r="C16" s="6" t="inlineStr">
        <is>
          <t>EKS</t>
        </is>
      </c>
      <c r="D16" s="7" t="inlineStr">
        <is>
          <t>EKS Pod cannot connect to DynamoDB (IRSA failure)</t>
        </is>
      </c>
      <c r="E16" s="8" t="inlineStr">
        <is>
          <t>Check Pod service account annotations and OIDC provider thumbprint to fix IAM Roles for Service Accounts (IRSA) permission mapping.</t>
        </is>
      </c>
      <c r="F16" s="6" t="n">
        <v>5</v>
      </c>
      <c r="G16" s="9" t="n"/>
      <c r="H16" s="9" t="n"/>
      <c r="I16" s="9" t="n"/>
    </row>
    <row r="17" ht="22" customHeight="1">
      <c r="A17" s="10" t="inlineStr">
        <is>
          <t>Task 12</t>
        </is>
      </c>
      <c r="B17" s="11" t="inlineStr">
        <is>
          <t>Tier 3 (Advanced)</t>
        </is>
      </c>
      <c r="C17" s="10" t="inlineStr">
        <is>
          <t>EKS</t>
        </is>
      </c>
      <c r="D17" s="11" t="inlineStr">
        <is>
          <t>Inter-pod DNS lookups timing out &amp; Ingress ALB misbehaving</t>
        </is>
      </c>
      <c r="E17" s="12" t="inlineStr">
        <is>
          <t>Troubleshoot CoreDNS performance, adjust ndots settings, and check AWS Load Balancer Controller logs to resolve target sync errors.</t>
        </is>
      </c>
      <c r="F17" s="10" t="n">
        <v>5</v>
      </c>
      <c r="G17" s="13" t="n"/>
      <c r="H17" s="13" t="n"/>
      <c r="I17" s="13" t="n"/>
    </row>
    <row r="18" ht="22" customHeight="1">
      <c r="A18" s="6" t="inlineStr">
        <is>
          <t>Task 13</t>
        </is>
      </c>
      <c r="B18" s="7" t="inlineStr">
        <is>
          <t>Tier 3 (Advanced)</t>
        </is>
      </c>
      <c r="C18" s="6" t="inlineStr">
        <is>
          <t>CloudWatch</t>
        </is>
      </c>
      <c r="D18" s="7" t="inlineStr">
        <is>
          <t>High rate of HTTP 500 errors across distributed containers</t>
        </is>
      </c>
      <c r="E18" s="8" t="inlineStr">
        <is>
          <t>Write CloudWatch Logs Insights queries to filter and parse error stack traces across dozens of log streams to find the failing dependency.</t>
        </is>
      </c>
      <c r="F18" s="6" t="n">
        <v>5</v>
      </c>
      <c r="G18" s="9" t="n"/>
      <c r="H18" s="9" t="n"/>
      <c r="I18" s="9" t="n"/>
    </row>
    <row r="19" ht="22" customHeight="1">
      <c r="A19" s="10" t="inlineStr">
        <is>
          <t>Task 14</t>
        </is>
      </c>
      <c r="B19" s="11" t="inlineStr">
        <is>
          <t>Tier 3 (Advanced)</t>
        </is>
      </c>
      <c r="C19" s="10" t="inlineStr">
        <is>
          <t>Glue</t>
        </is>
      </c>
      <c r="D19" s="11" t="inlineStr">
        <is>
          <t>Production Glue ETL Spark job failing with 'Driver Out of Memory'</t>
        </is>
      </c>
      <c r="E19" s="12" t="inlineStr">
        <is>
          <t>Tune Glue DPUs, optimize Spark partition sizes (`spark.sql.shuffle.partitions`), and fix data skew causing memory overflow.</t>
        </is>
      </c>
      <c r="F19" s="10" t="n">
        <v>5</v>
      </c>
      <c r="G19" s="13" t="n"/>
      <c r="H19" s="13" t="n"/>
      <c r="I19" s="13" t="n"/>
    </row>
    <row r="20" ht="22" customHeight="1">
      <c r="A20" s="6" t="inlineStr">
        <is>
          <t>Task 15</t>
        </is>
      </c>
      <c r="B20" s="7" t="inlineStr">
        <is>
          <t>Tier 3 (Advanced)</t>
        </is>
      </c>
      <c r="C20" s="6" t="inlineStr">
        <is>
          <t>EMR</t>
        </is>
      </c>
      <c r="D20" s="7" t="inlineStr">
        <is>
          <t>EMR Serverless job blocked by Lake Formation permissions</t>
        </is>
      </c>
      <c r="E20" s="8" t="inlineStr">
        <is>
          <t>Inspect Lake Formation data access permissions and grant appropriate table/column-level access for the EMR Serverless runtime role.</t>
        </is>
      </c>
      <c r="F20" s="6" t="n">
        <v>5</v>
      </c>
      <c r="G20" s="9" t="n"/>
      <c r="H20" s="9" t="n"/>
      <c r="I20" s="9" t="n"/>
    </row>
    <row r="21" ht="22" customHeight="1">
      <c r="A21" s="10" t="inlineStr">
        <is>
          <t>Task 16</t>
        </is>
      </c>
      <c r="B21" s="11" t="inlineStr">
        <is>
          <t>Tier 4 (Senior Support)</t>
        </is>
      </c>
      <c r="C21" s="10" t="inlineStr">
        <is>
          <t>SageMaker</t>
        </is>
      </c>
      <c r="D21" s="11" t="inlineStr">
        <is>
          <t>Data Scientist unable to start SageMaker Studio JupyterLab</t>
        </is>
      </c>
      <c r="E21" s="12" t="inlineStr">
        <is>
          <t>Diagnose Studio domain startup failures, verify VPC endpoint routing for SageMaker/EFS, and clear stale user storage locks.</t>
        </is>
      </c>
      <c r="F21" s="10" t="n">
        <v>5</v>
      </c>
      <c r="G21" s="13" t="n"/>
      <c r="H21" s="13" t="n"/>
      <c r="I21" s="13" t="n"/>
    </row>
    <row r="22" ht="22" customHeight="1">
      <c r="A22" s="6" t="inlineStr">
        <is>
          <t>Task 17</t>
        </is>
      </c>
      <c r="B22" s="7" t="inlineStr">
        <is>
          <t>Tier 4 (Senior Support)</t>
        </is>
      </c>
      <c r="C22" s="6" t="inlineStr">
        <is>
          <t>SageMaker</t>
        </is>
      </c>
      <c r="D22" s="7" t="inlineStr">
        <is>
          <t>Kernel crashes right after SageMaker Studio launches</t>
        </is>
      </c>
      <c r="E22" s="8" t="inlineStr">
        <is>
          <t>Debug user Lifecycle Configuration script, fix failing package installation commands, and restore default environment settings.</t>
        </is>
      </c>
      <c r="F22" s="6" t="n">
        <v>5</v>
      </c>
      <c r="G22" s="9" t="n"/>
      <c r="H22" s="9" t="n"/>
      <c r="I22" s="9" t="n"/>
    </row>
    <row r="23" ht="22" customHeight="1">
      <c r="A23" s="10" t="inlineStr">
        <is>
          <t>Task 18</t>
        </is>
      </c>
      <c r="B23" s="11" t="inlineStr">
        <is>
          <t>Tier 4 (Senior Support)</t>
        </is>
      </c>
      <c r="C23" s="10" t="inlineStr">
        <is>
          <t>Bedrock</t>
        </is>
      </c>
      <c r="D23" s="11" t="inlineStr">
        <is>
          <t>Bedrock API returning 'ThrottlingException' during peak hours</t>
        </is>
      </c>
      <c r="E23" s="12" t="inlineStr">
        <is>
          <t>Check CloudWatch Bedrock invocation metrics, implement exponential backoff retry in client application, and request quota increase.</t>
        </is>
      </c>
      <c r="F23" s="10" t="n">
        <v>5</v>
      </c>
      <c r="G23" s="13" t="n"/>
      <c r="H23" s="13" t="n"/>
      <c r="I23" s="13" t="n"/>
    </row>
    <row r="24" ht="22" customHeight="1">
      <c r="A24" s="6" t="inlineStr">
        <is>
          <t>Task 19</t>
        </is>
      </c>
      <c r="B24" s="7" t="inlineStr">
        <is>
          <t>Tier 4 (Senior Support)</t>
        </is>
      </c>
      <c r="C24" s="6" t="inlineStr">
        <is>
          <t>Bedrock</t>
        </is>
      </c>
      <c r="D24" s="7" t="inlineStr">
        <is>
          <t>Bedrock Knowledge Base returning irrelevant RAG answers</t>
        </is>
      </c>
      <c r="E24" s="8" t="inlineStr">
        <is>
          <t>Inspect vector index sync in OpenSearch Serverless, verify chunking strategy on uploaded S3 docs, and test retrieval quality.</t>
        </is>
      </c>
      <c r="F24" s="6" t="n">
        <v>5</v>
      </c>
      <c r="G24" s="9" t="n"/>
      <c r="H24" s="9" t="n"/>
      <c r="I24" s="9" t="n"/>
    </row>
    <row r="25" ht="22" customHeight="1">
      <c r="A25" s="10" t="inlineStr">
        <is>
          <t>Task 20</t>
        </is>
      </c>
      <c r="B25" s="11" t="inlineStr">
        <is>
          <t>Tier 4 (Senior Support)</t>
        </is>
      </c>
      <c r="C25" s="10" t="inlineStr">
        <is>
          <t>Bedrock</t>
        </is>
      </c>
      <c r="D25" s="11" t="inlineStr">
        <is>
          <t>Bedrock Guardrail blocking legitimate user queries</t>
        </is>
      </c>
      <c r="E25" s="12" t="inlineStr">
        <is>
          <t>Review blocked prompt logs in CloudWatch; fine-tune topic filters and regex PII masking rules to eliminate false-positive rejections.</t>
        </is>
      </c>
      <c r="F25" s="10" t="n">
        <v>5</v>
      </c>
      <c r="G25" s="13" t="n"/>
      <c r="H25" s="13" t="n"/>
      <c r="I25" s="13" t="n"/>
    </row>
    <row r="26" ht="22" customHeight="1">
      <c r="A26" s="6" t="inlineStr">
        <is>
          <t>Task 21</t>
        </is>
      </c>
      <c r="B26" s="7" t="inlineStr">
        <is>
          <t>Tier 5 (Principal SME)</t>
        </is>
      </c>
      <c r="C26" s="6" t="inlineStr">
        <is>
          <t>Network / CW</t>
        </is>
      </c>
      <c r="D26" s="7" t="inlineStr">
        <is>
          <t>Intermittent packet drops over Transit Gateway / VPN connection</t>
        </is>
      </c>
      <c r="E26" s="8" t="inlineStr">
        <is>
          <t>Use CloudWatch Network Flow Monitor to identify Path MTU Discovery (PMTUD) black holes and configure proper TCP MSS clamping.</t>
        </is>
      </c>
      <c r="F26" s="6" t="n">
        <v>4</v>
      </c>
      <c r="G26" s="9" t="n"/>
      <c r="H26" s="9" t="n"/>
      <c r="I26" s="9" t="n"/>
    </row>
    <row r="27" ht="22" customHeight="1">
      <c r="A27" s="10" t="inlineStr">
        <is>
          <t>Task 22</t>
        </is>
      </c>
      <c r="B27" s="11" t="inlineStr">
        <is>
          <t>Tier 5 (Principal SME)</t>
        </is>
      </c>
      <c r="C27" s="10" t="inlineStr">
        <is>
          <t>IAM / Sec</t>
        </is>
      </c>
      <c r="D27" s="11" t="inlineStr">
        <is>
          <t>SSO users unable to access resources due to ABAC tag mismatch</t>
        </is>
      </c>
      <c r="E27" s="12" t="inlineStr">
        <is>
          <t>Debug Attribute-Based Access Control (ABAC) policies; fix SAML session tag passing from Identity Center to match target AWS tags.</t>
        </is>
      </c>
      <c r="F27" s="10" t="n">
        <v>4</v>
      </c>
      <c r="G27" s="13" t="n"/>
      <c r="H27" s="13" t="n"/>
      <c r="I27" s="13" t="n"/>
    </row>
    <row r="28" ht="22" customHeight="1">
      <c r="A28" s="6" t="inlineStr">
        <is>
          <t>Task 23</t>
        </is>
      </c>
      <c r="B28" s="7" t="inlineStr">
        <is>
          <t>Tier 5 (Principal SME)</t>
        </is>
      </c>
      <c r="C28" s="6" t="inlineStr">
        <is>
          <t>EKS / SageMaker</t>
        </is>
      </c>
      <c r="D28" s="7" t="inlineStr">
        <is>
          <t>High tail latency on GPU-backed LLM inference endpoint</t>
        </is>
      </c>
      <c r="E28" s="8" t="inlineStr">
        <is>
          <t>Analyze GPU memory/utilization metrics, optimize batching parameters, and configure aggressive autoscaling to avoid bottlenecking.</t>
        </is>
      </c>
      <c r="F28" s="6" t="n">
        <v>4</v>
      </c>
      <c r="G28" s="9" t="n"/>
      <c r="H28" s="9" t="n"/>
      <c r="I28" s="9" t="n"/>
    </row>
    <row r="29" ht="22" customHeight="1">
      <c r="A29" s="10" t="inlineStr">
        <is>
          <t>Task 24</t>
        </is>
      </c>
      <c r="B29" s="11" t="inlineStr">
        <is>
          <t>Tier 5 (Principal SME)</t>
        </is>
      </c>
      <c r="C29" s="10" t="inlineStr">
        <is>
          <t>EMR / Glue</t>
        </is>
      </c>
      <c r="D29" s="11" t="inlineStr">
        <is>
          <t>Cross-account Lake Formation data sharing failure</t>
        </is>
      </c>
      <c r="E29" s="12" t="inlineStr">
        <is>
          <t>Troubleshoot AWS RAM resource share status, verify cross-account Lake Formation grants, and resolve IAM permission conflicts.</t>
        </is>
      </c>
      <c r="F29" s="10" t="n">
        <v>4</v>
      </c>
      <c r="G29" s="13" t="n"/>
      <c r="H29" s="13" t="n"/>
      <c r="I29" s="13" t="n"/>
    </row>
    <row r="30" ht="22" customHeight="1">
      <c r="A30" s="6" t="inlineStr">
        <is>
          <t>Task 25</t>
        </is>
      </c>
      <c r="B30" s="7" t="inlineStr">
        <is>
          <t>Tier 5 (Principal SME)</t>
        </is>
      </c>
      <c r="C30" s="6" t="inlineStr">
        <is>
          <t>SME Incident</t>
        </is>
      </c>
      <c r="D30" s="7" t="inlineStr">
        <is>
          <t>Multi-service Sev-1 outage triage &amp; formal Post-Mortem (COE)</t>
        </is>
      </c>
      <c r="E30" s="8" t="inlineStr">
        <is>
          <t>Lead technical troubleshooting across VPC, EKS, Glue, and Bedrock during an outage; write a detailed Correction of Errors (COE) document.</t>
        </is>
      </c>
      <c r="F30" s="6" t="n">
        <v>4</v>
      </c>
      <c r="G30" s="9" t="n"/>
      <c r="H30" s="9" t="n"/>
      <c r="I30" s="9" t="n"/>
    </row>
    <row r="31" ht="24" customHeight="1">
      <c r="A31" s="14" t="inlineStr">
        <is>
          <t>Total Score (Points Scored)</t>
        </is>
      </c>
      <c r="B31" s="15" t="n"/>
      <c r="C31" s="15" t="n"/>
      <c r="D31" s="15" t="n"/>
      <c r="E31" s="15" t="n"/>
      <c r="F31" s="16">
        <f>SUM(F6:F30)</f>
        <v/>
      </c>
      <c r="G31" s="17">
        <f>SUM(G6:G30)</f>
        <v/>
      </c>
      <c r="H31" s="17">
        <f>SUM(H6:H30)</f>
        <v/>
      </c>
      <c r="I31" s="17">
        <f>SUM(I6:I30)</f>
        <v/>
      </c>
    </row>
    <row r="32" ht="24" customHeight="1">
      <c r="A32" s="14" t="inlineStr">
        <is>
          <t>Score Percentage (%)</t>
        </is>
      </c>
      <c r="B32" s="15" t="n"/>
      <c r="C32" s="15" t="n"/>
      <c r="D32" s="15" t="n"/>
      <c r="E32" s="15" t="n"/>
      <c r="F32" s="16" t="inlineStr">
        <is>
          <t>100.0%</t>
        </is>
      </c>
      <c r="G32" s="18">
        <f>G31/$F$31</f>
        <v/>
      </c>
      <c r="H32" s="18">
        <f>H31/$F$31</f>
        <v/>
      </c>
      <c r="I32" s="18">
        <f>I31/$F$31</f>
        <v/>
      </c>
    </row>
    <row r="33" ht="26" customHeight="1">
      <c r="A33" s="19" t="inlineStr">
        <is>
          <t>Assessed Support Level</t>
        </is>
      </c>
      <c r="B33" s="20" t="n"/>
      <c r="C33" s="20" t="n"/>
      <c r="D33" s="20" t="n"/>
      <c r="E33" s="20" t="n"/>
      <c r="F33" s="21" t="inlineStr">
        <is>
          <t>Target Benchmarks</t>
        </is>
      </c>
      <c r="G33" s="21">
        <f>IFS(G31&gt;=85, "Principal SME / Escalation Lead", G31&gt;=65, "Senior L3 Support Engineer", G31&gt;=45, "L2 CloudOps Engineer", G31&gt;=20, "L1 Support Associate", TRUE, "Trainee / Needs Training")</f>
        <v/>
      </c>
      <c r="H33" s="21">
        <f>IFS(H31&gt;=85, "Principal SME / Escalation Lead", H31&gt;=65, "Senior L3 Support Engineer", H31&gt;=45, "L2 CloudOps Engineer", H31&gt;=20, "L1 Support Associate", TRUE, "Trainee / Needs Training")</f>
        <v/>
      </c>
      <c r="I33" s="21">
        <f>IFS(I31&gt;=85, "Principal SME / Escalation Lead", I31&gt;=65, "Senior L3 Support Engineer", I31&gt;=45, "L2 CloudOps Engineer", I31&gt;=20, "L1 Support Associate", TRUE, "Trainee / Needs Training")</f>
        <v/>
      </c>
    </row>
  </sheetData>
  <mergeCells count="3">
    <mergeCell ref="A33:E33"/>
    <mergeCell ref="A32:E32"/>
    <mergeCell ref="A31:E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0" customWidth="1" min="3" max="3"/>
    <col width="75" customWidth="1" min="4" max="4"/>
  </cols>
  <sheetData>
    <row r="1" ht="22" customHeight="1">
      <c r="A1" s="1" t="inlineStr">
        <is>
          <t>Support Level Benchmark &amp; Evaluation Guide</t>
        </is>
      </c>
    </row>
    <row r="2" ht="16" customHeight="1">
      <c r="A2" s="2" t="inlineStr">
        <is>
          <t>Use this table as a reference for assessing candidates and team members based on their final scores.</t>
        </is>
      </c>
    </row>
    <row r="4" ht="24" customHeight="1">
      <c r="A4" s="22" t="inlineStr">
        <is>
          <t>Score (%)</t>
        </is>
      </c>
      <c r="B4" s="22" t="inlineStr">
        <is>
          <t>Points (out of 100)</t>
        </is>
      </c>
      <c r="C4" s="22" t="inlineStr">
        <is>
          <t>Assessed Level</t>
        </is>
      </c>
      <c r="D4" s="22" t="inlineStr">
        <is>
          <t>Practical Capability &amp; Daily Scope</t>
        </is>
      </c>
    </row>
    <row r="5" ht="22" customHeight="1">
      <c r="A5" s="23" t="inlineStr">
        <is>
          <t>85% - 100%</t>
        </is>
      </c>
      <c r="B5" s="23" t="inlineStr">
        <is>
          <t>85 - 100</t>
        </is>
      </c>
      <c r="C5" s="24" t="inlineStr">
        <is>
          <t>Principal SME / Escalation Lead</t>
        </is>
      </c>
      <c r="D5" s="11" t="inlineStr">
        <is>
          <t>Can lead Sev-1 war rooms, solve rare multi-service outages, debug deep kernel/network packet issues, and draft executive Correction of Errors (COE) docs.</t>
        </is>
      </c>
    </row>
    <row r="6" ht="22" customHeight="1">
      <c r="A6" s="25" t="inlineStr">
        <is>
          <t>65% - 84%</t>
        </is>
      </c>
      <c r="B6" s="25" t="inlineStr">
        <is>
          <t>65 - 84</t>
        </is>
      </c>
      <c r="C6" s="26" t="inlineStr">
        <is>
          <t>Senior L3 Support Engineer</t>
        </is>
      </c>
      <c r="D6" s="7" t="inlineStr">
        <is>
          <t>Autonomously troubleshoots complex issues in EKS, Spark OOMs on Glue/EMR, Bedrock API throttling/RAG quality, and large-scale CloudWatch logs.</t>
        </is>
      </c>
    </row>
    <row r="7" ht="22" customHeight="1">
      <c r="A7" s="23" t="inlineStr">
        <is>
          <t>45% - 64%</t>
        </is>
      </c>
      <c r="B7" s="23" t="inlineStr">
        <is>
          <t>45 - 64</t>
        </is>
      </c>
      <c r="C7" s="24" t="inlineStr">
        <is>
          <t>L2 CloudOps Engineer</t>
        </is>
      </c>
      <c r="D7" s="11" t="inlineStr">
        <is>
          <t>Resolves daily operational tickets: crashing containers (OOM 137), ALB 502 bad gateways, S3 partition changes in Glue, and Athena VPC flow log queries.</t>
        </is>
      </c>
    </row>
    <row r="8" ht="22" customHeight="1">
      <c r="A8" s="25" t="inlineStr">
        <is>
          <t>20% - 44%</t>
        </is>
      </c>
      <c r="B8" s="25" t="inlineStr">
        <is>
          <t>20 - 43</t>
        </is>
      </c>
      <c r="C8" s="26" t="inlineStr">
        <is>
          <t>L1 Support Associate</t>
        </is>
      </c>
      <c r="D8" s="7" t="inlineStr">
        <is>
          <t>Handles basic access denials in IAM, S3 endpoint connectivity checks, false-negative alarms, and standard ticket escalations.</t>
        </is>
      </c>
    </row>
    <row r="9" ht="22" customHeight="1">
      <c r="A9" s="23" t="inlineStr">
        <is>
          <t>0% - 19%</t>
        </is>
      </c>
      <c r="B9" s="23" t="inlineStr">
        <is>
          <t>0 - 19</t>
        </is>
      </c>
      <c r="C9" s="24" t="inlineStr">
        <is>
          <t>Trainee / Needs Training</t>
        </is>
      </c>
      <c r="D9" s="11" t="inlineStr">
        <is>
          <t>Requires guided training and shadowing before handling production support tickets independently.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2026-08-17T20:52:48Z</dcterms:created>
  <dcterms:modified xmlns:dcterms="http://purl.org/dc/terms/" xmlns:xsi="http://www.w3.org/2001/XMLSchema-instance" xsi:type="dcterms:W3CDTF">2026-08-17T20:52:48Z</dcterms:modified>
</cp:coreProperties>
</file>